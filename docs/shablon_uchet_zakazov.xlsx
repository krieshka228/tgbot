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т" sheetId="1" state="visible" r:id="rId1"/>
    <sheet name="Розница" sheetId="2" state="visible" r:id="rId2"/>
    <sheet name="Справочник" sheetId="3" state="visible" r:id="rId3"/>
    <sheet name="Отчёт" sheetId="4" state="visible" r:id="rId4"/>
    <sheet name="Как это работае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 ₽"/>
    <numFmt numFmtId="166" formatCode="DD.MM.YYYY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1"/>
    </font>
    <font>
      <b val="1"/>
      <color rgb="00FFFFFF"/>
      <sz val="12"/>
    </font>
    <font>
      <i val="1"/>
      <color rgb="0080808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166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right"/>
    </xf>
    <xf numFmtId="165" fontId="2" fillId="4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horizontal="right"/>
    </xf>
    <xf numFmtId="1" fontId="3" fillId="5" borderId="1" pivotButton="0" quotePrefix="0" xfId="0"/>
    <xf numFmtId="165" fontId="3" fillId="5" borderId="1" pivotButton="0" quotePrefix="0" xfId="0"/>
    <xf numFmtId="0" fontId="4" fillId="6" borderId="1" pivotButton="0" quotePrefix="0" xfId="0"/>
    <xf numFmtId="165" fontId="4" fillId="6" borderId="1" pivotButton="0" quotePrefix="0" xfId="0"/>
    <xf numFmtId="0" fontId="5" fillId="0" borderId="0" pivotButton="0" quotePrefix="0" xfId="0"/>
    <xf numFmtId="0" fontId="0" fillId="4" borderId="1" pivotButton="0" quotePrefix="0" xfId="0"/>
    <xf numFmtId="2" fontId="0" fillId="4" borderId="1" pivotButton="0" quotePrefix="0" xfId="0"/>
    <xf numFmtId="0" fontId="6" fillId="0" borderId="0" pivotButton="0" quotePrefix="0" xfId="0"/>
    <xf numFmtId="165" fontId="1" fillId="2" borderId="1" pivotButton="0" quotePrefix="0" xfId="0"/>
    <xf numFmtId="1" fontId="1" fillId="2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22" customWidth="1" min="4" max="4"/>
    <col width="12" customWidth="1" min="5" max="5"/>
    <col width="30" customWidth="1" min="6" max="6"/>
    <col width="7" customWidth="1" min="7" max="7"/>
    <col width="12" customWidth="1" min="8" max="8"/>
    <col width="12" customWidth="1" min="9" max="9"/>
    <col width="13" customWidth="1" min="10" max="10"/>
    <col width="12" customWidth="1" min="11" max="11"/>
    <col width="11" customWidth="1" min="12" max="12"/>
    <col width="14" customWidth="1" min="13" max="13"/>
    <col width="13" customWidth="1" min="14" max="14"/>
    <col width="30" customWidth="1" min="15" max="15"/>
    <col width="12" customWidth="1" min="16" max="16"/>
    <col width="16" customWidth="1" min="17" max="17"/>
  </cols>
  <sheetData>
    <row r="1">
      <c r="A1" s="1" t="inlineStr">
        <is>
          <t>Дата</t>
        </is>
      </c>
      <c r="B1" s="1" t="inlineStr">
        <is>
          <t>Заказ ID</t>
        </is>
      </c>
      <c r="C1" s="1" t="inlineStr">
        <is>
          <t>TG ID</t>
        </is>
      </c>
      <c r="D1" s="1" t="inlineStr">
        <is>
          <t>Клиент</t>
        </is>
      </c>
      <c r="E1" s="1" t="inlineStr">
        <is>
          <t>Артикул</t>
        </is>
      </c>
      <c r="F1" s="1" t="inlineStr">
        <is>
          <t>Товар</t>
        </is>
      </c>
      <c r="G1" s="1" t="inlineStr">
        <is>
          <t>Кол-во</t>
        </is>
      </c>
      <c r="H1" s="1" t="inlineStr">
        <is>
          <t>Цена закупа</t>
        </is>
      </c>
      <c r="I1" s="1" t="inlineStr">
        <is>
          <t>Σ закупа</t>
        </is>
      </c>
      <c r="J1" s="1" t="inlineStr">
        <is>
          <t>Цена продажи</t>
        </is>
      </c>
      <c r="K1" s="1" t="inlineStr">
        <is>
          <t>Σ продажи</t>
        </is>
      </c>
      <c r="L1" s="1" t="inlineStr">
        <is>
          <t>Прибыль</t>
        </is>
      </c>
      <c r="M1" s="1" t="inlineStr">
        <is>
          <t>Форма оплаты</t>
        </is>
      </c>
      <c r="N1" s="1" t="inlineStr">
        <is>
          <t>Этап сборки</t>
        </is>
      </c>
      <c r="O1" s="1" t="inlineStr">
        <is>
          <t>Комментарий</t>
        </is>
      </c>
      <c r="P1" s="1" t="inlineStr">
        <is>
          <t>Статус</t>
        </is>
      </c>
      <c r="Q1" s="1" t="inlineStr">
        <is>
          <t>ID позиции (служеб.)</t>
        </is>
      </c>
    </row>
    <row r="2">
      <c r="A2" s="2">
        <f>== СЕНТЯБРЬ 2026 ===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3" t="n">
        <v>46276</v>
      </c>
      <c r="B3" s="4" t="n">
        <v>154</v>
      </c>
      <c r="C3" s="4" t="n">
        <v>111111</v>
      </c>
      <c r="D3" s="4" t="inlineStr">
        <is>
          <t>Иван (@ivan)</t>
        </is>
      </c>
      <c r="E3" s="4" t="inlineStr">
        <is>
          <t>AM-08</t>
        </is>
      </c>
      <c r="F3" s="4" t="inlineStr">
        <is>
          <t>Бусы из аметиста, 8 мм</t>
        </is>
      </c>
      <c r="G3" s="5" t="n">
        <v>2</v>
      </c>
      <c r="H3" s="6" t="n">
        <v>1500</v>
      </c>
      <c r="I3" s="6">
        <f>G3*H3</f>
        <v/>
      </c>
      <c r="J3" s="6" t="n">
        <v>2500</v>
      </c>
      <c r="K3" s="6">
        <f>G3*J3</f>
        <v/>
      </c>
      <c r="L3" s="6">
        <f>K3-I3</f>
        <v/>
      </c>
      <c r="M3" s="6" t="inlineStr">
        <is>
          <t>Перевод</t>
        </is>
      </c>
      <c r="N3" s="6" t="inlineStr">
        <is>
          <t>Собран</t>
        </is>
      </c>
      <c r="O3" s="6" t="n"/>
      <c r="P3" s="6" t="inlineStr">
        <is>
          <t>confirmed</t>
        </is>
      </c>
      <c r="Q3" s="6" t="n">
        <v>812</v>
      </c>
    </row>
    <row r="4">
      <c r="A4" s="3" t="n">
        <v>46276</v>
      </c>
      <c r="B4" s="4" t="n">
        <v>154</v>
      </c>
      <c r="C4" s="4" t="n">
        <v>111111</v>
      </c>
      <c r="D4" s="4" t="inlineStr">
        <is>
          <t>Иван (@ivan)</t>
        </is>
      </c>
      <c r="E4" s="4" t="inlineStr">
        <is>
          <t>GH-06</t>
        </is>
      </c>
      <c r="F4" s="4" t="inlineStr">
        <is>
          <t>Бусы из горного хрусталя, 6 мм</t>
        </is>
      </c>
      <c r="G4" s="5" t="n">
        <v>1</v>
      </c>
      <c r="H4" s="6" t="n">
        <v>800</v>
      </c>
      <c r="I4" s="6">
        <f>G4*H4</f>
        <v/>
      </c>
      <c r="J4" s="6" t="n">
        <v>1400</v>
      </c>
      <c r="K4" s="6">
        <f>G4*J4</f>
        <v/>
      </c>
      <c r="L4" s="6">
        <f>K4-I4</f>
        <v/>
      </c>
      <c r="M4" s="6" t="inlineStr">
        <is>
          <t>Перевод</t>
        </is>
      </c>
      <c r="N4" s="6" t="inlineStr">
        <is>
          <t>Собран</t>
        </is>
      </c>
      <c r="O4" s="6" t="n"/>
      <c r="P4" s="6" t="inlineStr">
        <is>
          <t>confirmed</t>
        </is>
      </c>
      <c r="Q4" s="6" t="n">
        <v>813</v>
      </c>
    </row>
    <row r="5">
      <c r="A5" s="7" t="n"/>
      <c r="B5" s="7" t="n"/>
      <c r="C5" s="7" t="n"/>
      <c r="D5" s="7" t="n"/>
      <c r="E5" s="7" t="n"/>
      <c r="F5" s="8" t="inlineStr">
        <is>
          <t>ИТОГО ЗАКАЗ 154:</t>
        </is>
      </c>
      <c r="G5" s="7" t="n"/>
      <c r="H5" s="9" t="n"/>
      <c r="I5" s="9">
        <f>SUM(I3:I4)</f>
        <v/>
      </c>
      <c r="J5" s="9" t="n"/>
      <c r="K5" s="9">
        <f>SUM(K3:K4)</f>
        <v/>
      </c>
      <c r="L5" s="9">
        <f>SUM(L3:L4)</f>
        <v/>
      </c>
      <c r="M5" s="9" t="n"/>
      <c r="N5" s="9" t="n"/>
      <c r="O5" s="9" t="n"/>
      <c r="P5" s="9" t="n"/>
      <c r="Q5" s="9" t="n"/>
    </row>
    <row r="6">
      <c r="A6" s="3" t="n">
        <v>46277</v>
      </c>
      <c r="B6" s="4" t="n">
        <v>155</v>
      </c>
      <c r="C6" s="4" t="n">
        <v>222222</v>
      </c>
      <c r="D6" s="4" t="inlineStr">
        <is>
          <t>Ольга (@olga)</t>
        </is>
      </c>
      <c r="E6" s="4" t="inlineStr">
        <is>
          <t>AM-08</t>
        </is>
      </c>
      <c r="F6" s="4" t="inlineStr">
        <is>
          <t>Бусы из аметиста, 8 мм</t>
        </is>
      </c>
      <c r="G6" s="5" t="n">
        <v>1</v>
      </c>
      <c r="H6" s="6" t="n">
        <v>1500</v>
      </c>
      <c r="I6" s="6">
        <f>G6*H6</f>
        <v/>
      </c>
      <c r="J6" s="6" t="n">
        <v>2500</v>
      </c>
      <c r="K6" s="6">
        <f>G6*J6</f>
        <v/>
      </c>
      <c r="L6" s="6">
        <f>K6-I6</f>
        <v/>
      </c>
      <c r="M6" s="6" t="inlineStr">
        <is>
          <t>QR код</t>
        </is>
      </c>
      <c r="N6" s="6" t="inlineStr">
        <is>
          <t>В работе</t>
        </is>
      </c>
      <c r="O6" s="6" t="n"/>
      <c r="P6" s="6" t="inlineStr">
        <is>
          <t>confirmed</t>
        </is>
      </c>
      <c r="Q6" s="6" t="n">
        <v>814</v>
      </c>
    </row>
    <row r="7">
      <c r="A7" s="7" t="n"/>
      <c r="B7" s="7" t="n"/>
      <c r="C7" s="7" t="n"/>
      <c r="D7" s="7" t="n"/>
      <c r="E7" s="7" t="n"/>
      <c r="F7" s="8" t="inlineStr">
        <is>
          <t>ИТОГО ЗАКАЗ 155:</t>
        </is>
      </c>
      <c r="G7" s="7" t="n"/>
      <c r="H7" s="9" t="n"/>
      <c r="I7" s="9">
        <f>SUM(I6:I6)</f>
        <v/>
      </c>
      <c r="J7" s="9" t="n"/>
      <c r="K7" s="9">
        <f>SUM(K6:K6)</f>
        <v/>
      </c>
      <c r="L7" s="9">
        <f>SUM(L6:L6)</f>
        <v/>
      </c>
      <c r="M7" s="9" t="n"/>
      <c r="N7" s="9" t="n"/>
      <c r="O7" s="9" t="n"/>
      <c r="P7" s="9" t="n"/>
      <c r="Q7" s="9" t="n"/>
    </row>
    <row r="8">
      <c r="A8" s="10" t="inlineStr">
        <is>
          <t>ИТОГО СЕНТЯБРЬ 2026:</t>
        </is>
      </c>
      <c r="B8" s="10" t="n"/>
      <c r="C8" s="10" t="n"/>
      <c r="D8" s="10" t="n"/>
      <c r="E8" s="10" t="n"/>
      <c r="F8" s="11">
        <f>COUNTIF(F3:F7,"ИТОГО ЗАКАЗ*")</f>
        <v/>
      </c>
      <c r="G8" s="12">
        <f>SUMPRODUCT(ISNUMBER(G3:G7)*G3:G7)</f>
        <v/>
      </c>
      <c r="H8" s="13" t="n"/>
      <c r="I8" s="13">
        <f>SUMPRODUCT(ISNUMBER(H3:H7)*I3:I7)</f>
        <v/>
      </c>
      <c r="J8" s="13" t="n"/>
      <c r="K8" s="13">
        <f>SUMPRODUCT(ISNUMBER(H3:H7)*K3:K7)</f>
        <v/>
      </c>
      <c r="L8" s="13">
        <f>SUMPRODUCT(ISNUMBER(H3:H7)*L3:L7)</f>
        <v/>
      </c>
      <c r="M8" s="13" t="n"/>
      <c r="N8" s="13" t="n"/>
      <c r="O8" s="13" t="n"/>
      <c r="P8" s="13" t="n"/>
      <c r="Q8" s="13" t="n"/>
    </row>
    <row r="10">
      <c r="A10" s="2">
        <f>== ОКТЯБРЬ 2026 ===</f>
        <v/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3" t="n">
        <v>46298</v>
      </c>
      <c r="B11" s="4" t="n">
        <v>156</v>
      </c>
      <c r="C11" s="4" t="n">
        <v>111111</v>
      </c>
      <c r="D11" s="4" t="inlineStr">
        <is>
          <t>Иван (@ivan)</t>
        </is>
      </c>
      <c r="E11" s="4" t="inlineStr">
        <is>
          <t>LAVA-10</t>
        </is>
      </c>
      <c r="F11" s="4" t="inlineStr">
        <is>
          <t>Бусы из вулканической лавы, 10 мм</t>
        </is>
      </c>
      <c r="G11" s="5" t="n">
        <v>3</v>
      </c>
      <c r="H11" s="6" t="n">
        <v>300</v>
      </c>
      <c r="I11" s="6">
        <f>G11*H11</f>
        <v/>
      </c>
      <c r="J11" s="6" t="n">
        <v>700</v>
      </c>
      <c r="K11" s="6">
        <f>G11*J11</f>
        <v/>
      </c>
      <c r="L11" s="6">
        <f>K11-I11</f>
        <v/>
      </c>
      <c r="M11" s="6" t="inlineStr">
        <is>
          <t>Наличные</t>
        </is>
      </c>
      <c r="N11" s="6" t="inlineStr">
        <is>
          <t>Отгружен</t>
        </is>
      </c>
      <c r="O11" s="6" t="n"/>
      <c r="P11" s="6" t="inlineStr">
        <is>
          <t>confirmed</t>
        </is>
      </c>
      <c r="Q11" s="6" t="n">
        <v>815</v>
      </c>
    </row>
    <row r="12">
      <c r="A12" s="7" t="n"/>
      <c r="B12" s="7" t="n"/>
      <c r="C12" s="7" t="n"/>
      <c r="D12" s="7" t="n"/>
      <c r="E12" s="7" t="n"/>
      <c r="F12" s="8" t="inlineStr">
        <is>
          <t>ИТОГО ЗАКАЗ 156:</t>
        </is>
      </c>
      <c r="G12" s="7" t="n"/>
      <c r="H12" s="9" t="n"/>
      <c r="I12" s="9">
        <f>SUM(I11:I11)</f>
        <v/>
      </c>
      <c r="J12" s="9" t="n"/>
      <c r="K12" s="9">
        <f>SUM(K11:K11)</f>
        <v/>
      </c>
      <c r="L12" s="9">
        <f>SUM(L11:L11)</f>
        <v/>
      </c>
      <c r="M12" s="9" t="n"/>
      <c r="N12" s="9" t="n"/>
      <c r="O12" s="9" t="n"/>
      <c r="P12" s="9" t="n"/>
      <c r="Q12" s="9" t="n"/>
    </row>
    <row r="13">
      <c r="A13" s="10" t="inlineStr">
        <is>
          <t>ИТОГО ОКТЯБРЬ 2026:</t>
        </is>
      </c>
      <c r="B13" s="10" t="n"/>
      <c r="C13" s="10" t="n"/>
      <c r="D13" s="10" t="n"/>
      <c r="E13" s="10" t="n"/>
      <c r="F13" s="11">
        <f>COUNTIF(F11:F12,"ИТОГО ЗАКАЗ*")</f>
        <v/>
      </c>
      <c r="G13" s="12">
        <f>SUMPRODUCT(ISNUMBER(G11:G12)*G11:G12)</f>
        <v/>
      </c>
      <c r="H13" s="13" t="n"/>
      <c r="I13" s="13">
        <f>SUMPRODUCT(ISNUMBER(H11:H12)*I11:I12)</f>
        <v/>
      </c>
      <c r="J13" s="13" t="n"/>
      <c r="K13" s="13">
        <f>SUMPRODUCT(ISNUMBER(H11:H12)*K11:K12)</f>
        <v/>
      </c>
      <c r="L13" s="13">
        <f>SUMPRODUCT(ISNUMBER(H11:H12)*L11:L12)</f>
        <v/>
      </c>
      <c r="M13" s="13" t="n"/>
      <c r="N13" s="13" t="n"/>
      <c r="O13" s="13" t="n"/>
      <c r="P13" s="13" t="n"/>
      <c r="Q13" s="13" t="n"/>
    </row>
    <row r="15">
      <c r="A15" s="14" t="inlineStr">
        <is>
          <t>ВСЕГО ЗА ВСЁ ВРЕМЯ:</t>
        </is>
      </c>
      <c r="B15" s="14" t="n"/>
      <c r="C15" s="14" t="n"/>
      <c r="D15" s="14" t="n"/>
      <c r="E15" s="14" t="n"/>
      <c r="F15" s="14" t="n"/>
      <c r="G15" s="14" t="n"/>
      <c r="H15" s="15" t="n"/>
      <c r="I15" s="15">
        <f>I8+I13</f>
        <v/>
      </c>
      <c r="J15" s="15" t="n"/>
      <c r="K15" s="15">
        <f>K8+K13</f>
        <v/>
      </c>
      <c r="L15" s="15">
        <f>L8+L13</f>
        <v/>
      </c>
      <c r="M15" s="15" t="n"/>
      <c r="N15" s="15" t="n"/>
      <c r="O15" s="15" t="n"/>
      <c r="P15" s="15" t="n"/>
      <c r="Q15" s="15" t="n"/>
    </row>
  </sheetData>
  <mergeCells count="2">
    <mergeCell ref="A2:Q2"/>
    <mergeCell ref="A10:Q10"/>
  </mergeCells>
  <conditionalFormatting sqref="M2:M200">
    <cfRule type="cellIs" priority="1" operator="equal" dxfId="0">
      <formula>"QR код"</formula>
    </cfRule>
    <cfRule type="cellIs" priority="2" operator="equal" dxfId="0">
      <formula>"Наличные"</formula>
    </cfRule>
    <cfRule type="cellIs" priority="3" operator="equal" dxfId="0">
      <formula>"Перевод"</formula>
    </cfRule>
    <cfRule type="cellIs" priority="4" operator="equal" dxfId="1">
      <formula>"Не оплачен"</formula>
    </cfRule>
  </conditionalFormatting>
  <conditionalFormatting sqref="N2:N200">
    <cfRule type="cellIs" priority="5" operator="equal" dxfId="2">
      <formula>"Принят"</formula>
    </cfRule>
    <cfRule type="cellIs" priority="6" operator="equal" dxfId="3">
      <formula>"В работе"</formula>
    </cfRule>
    <cfRule type="cellIs" priority="7" operator="equal" dxfId="4">
      <formula>"Собран"</formula>
    </cfRule>
    <cfRule type="cellIs" priority="8" operator="equal" dxfId="0">
      <formula>"Отгружен"</formula>
    </cfRule>
  </conditionalFormatting>
  <dataValidations count="2">
    <dataValidation sqref="M2:M200" showDropDown="0" showInputMessage="0" showErrorMessage="0" allowBlank="1" error="Выберите значение из списка" type="list">
      <formula1>"QR код,Наличные,Перевод,Не оплачен"</formula1>
    </dataValidation>
    <dataValidation sqref="N2:N200" showDropDown="0" showInputMessage="0" showErrorMessage="0" allowBlank="1" type="list">
      <formula1>"Принят,В работе,Собран,Отгружен"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22" customWidth="1" min="4" max="4"/>
    <col width="12" customWidth="1" min="5" max="5"/>
    <col width="30" customWidth="1" min="6" max="6"/>
    <col width="7" customWidth="1" min="7" max="7"/>
    <col width="12" customWidth="1" min="8" max="8"/>
    <col width="12" customWidth="1" min="9" max="9"/>
    <col width="13" customWidth="1" min="10" max="10"/>
    <col width="12" customWidth="1" min="11" max="11"/>
    <col width="11" customWidth="1" min="12" max="12"/>
    <col width="14" customWidth="1" min="13" max="13"/>
    <col width="13" customWidth="1" min="14" max="14"/>
    <col width="30" customWidth="1" min="15" max="15"/>
    <col width="12" customWidth="1" min="16" max="16"/>
    <col width="16" customWidth="1" min="17" max="17"/>
  </cols>
  <sheetData>
    <row r="1">
      <c r="A1" s="1" t="inlineStr">
        <is>
          <t>Дата</t>
        </is>
      </c>
      <c r="B1" s="1" t="inlineStr">
        <is>
          <t>Заказ ID</t>
        </is>
      </c>
      <c r="C1" s="1" t="inlineStr">
        <is>
          <t>TG ID</t>
        </is>
      </c>
      <c r="D1" s="1" t="inlineStr">
        <is>
          <t>Клиент</t>
        </is>
      </c>
      <c r="E1" s="1" t="inlineStr">
        <is>
          <t>Артикул</t>
        </is>
      </c>
      <c r="F1" s="1" t="inlineStr">
        <is>
          <t>Товар</t>
        </is>
      </c>
      <c r="G1" s="1" t="inlineStr">
        <is>
          <t>Кол-во</t>
        </is>
      </c>
      <c r="H1" s="1" t="inlineStr">
        <is>
          <t>Цена закупа</t>
        </is>
      </c>
      <c r="I1" s="1" t="inlineStr">
        <is>
          <t>Σ закупа</t>
        </is>
      </c>
      <c r="J1" s="1" t="inlineStr">
        <is>
          <t>Цена продажи</t>
        </is>
      </c>
      <c r="K1" s="1" t="inlineStr">
        <is>
          <t>Σ продажи</t>
        </is>
      </c>
      <c r="L1" s="1" t="inlineStr">
        <is>
          <t>Прибыль</t>
        </is>
      </c>
      <c r="M1" s="1" t="inlineStr">
        <is>
          <t>Форма оплаты</t>
        </is>
      </c>
      <c r="N1" s="1" t="inlineStr">
        <is>
          <t>Этап сборки</t>
        </is>
      </c>
      <c r="O1" s="1" t="inlineStr">
        <is>
          <t>Комментарий</t>
        </is>
      </c>
      <c r="P1" s="1" t="inlineStr">
        <is>
          <t>Статус</t>
        </is>
      </c>
      <c r="Q1" s="1" t="inlineStr">
        <is>
          <t>ID позиции (служеб.)</t>
        </is>
      </c>
    </row>
    <row r="2">
      <c r="A2" s="2">
        <f>== СЕНТЯБРЬ 2026 ===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3" t="n">
        <v>46280</v>
      </c>
      <c r="B3" s="4" t="inlineStr">
        <is>
          <t>Р-01</t>
        </is>
      </c>
      <c r="C3" s="4" t="n"/>
      <c r="D3" s="4" t="inlineStr">
        <is>
          <t>Розничный покупатель</t>
        </is>
      </c>
      <c r="E3" s="4" t="inlineStr">
        <is>
          <t>GH-06</t>
        </is>
      </c>
      <c r="F3" s="4" t="inlineStr">
        <is>
          <t>Бусы из горного хрусталя, 6 мм</t>
        </is>
      </c>
      <c r="G3" s="5" t="n">
        <v>1</v>
      </c>
      <c r="H3" s="6" t="n">
        <v>800</v>
      </c>
      <c r="I3" s="6">
        <f>G3*H3</f>
        <v/>
      </c>
      <c r="J3" s="6" t="n">
        <v>1400</v>
      </c>
      <c r="K3" s="6">
        <f>G3*J3</f>
        <v/>
      </c>
      <c r="L3" s="6">
        <f>K3-I3</f>
        <v/>
      </c>
      <c r="M3" s="6" t="inlineStr">
        <is>
          <t>Наличные</t>
        </is>
      </c>
      <c r="N3" s="6" t="inlineStr">
        <is>
          <t>Отгружен</t>
        </is>
      </c>
      <c r="O3" s="6" t="n"/>
      <c r="P3" s="6" t="inlineStr">
        <is>
          <t>продан</t>
        </is>
      </c>
      <c r="Q3" s="6" t="n"/>
    </row>
    <row r="4">
      <c r="A4" s="7" t="n"/>
      <c r="B4" s="7" t="n"/>
      <c r="C4" s="7" t="n"/>
      <c r="D4" s="7" t="n"/>
      <c r="E4" s="7" t="n"/>
      <c r="F4" s="8" t="inlineStr">
        <is>
          <t>ИТОГО ЗАКАЗ Р-01:</t>
        </is>
      </c>
      <c r="G4" s="7" t="n"/>
      <c r="H4" s="9" t="n"/>
      <c r="I4" s="9">
        <f>SUM(I3:I3)</f>
        <v/>
      </c>
      <c r="J4" s="9" t="n"/>
      <c r="K4" s="9">
        <f>SUM(K3:K3)</f>
        <v/>
      </c>
      <c r="L4" s="9">
        <f>SUM(L3:L3)</f>
        <v/>
      </c>
      <c r="M4" s="9" t="n"/>
      <c r="N4" s="9" t="n"/>
      <c r="O4" s="9" t="n"/>
      <c r="P4" s="9" t="n"/>
      <c r="Q4" s="9" t="n"/>
    </row>
    <row r="5">
      <c r="A5" s="3" t="n">
        <v>46285</v>
      </c>
      <c r="B5" s="4" t="inlineStr">
        <is>
          <t>Р-02</t>
        </is>
      </c>
      <c r="C5" s="4" t="n"/>
      <c r="D5" s="4" t="inlineStr">
        <is>
          <t>Розничный покупатель</t>
        </is>
      </c>
      <c r="E5" s="4" t="inlineStr">
        <is>
          <t>AM-08</t>
        </is>
      </c>
      <c r="F5" s="4" t="inlineStr">
        <is>
          <t>Бусы из аметиста, 8 мм</t>
        </is>
      </c>
      <c r="G5" s="5" t="n">
        <v>1</v>
      </c>
      <c r="H5" s="6" t="n">
        <v>1500</v>
      </c>
      <c r="I5" s="6">
        <f>G5*H5</f>
        <v/>
      </c>
      <c r="J5" s="6" t="n">
        <v>2500</v>
      </c>
      <c r="K5" s="6">
        <f>G5*J5</f>
        <v/>
      </c>
      <c r="L5" s="6">
        <f>K5-I5</f>
        <v/>
      </c>
      <c r="M5" s="6" t="inlineStr">
        <is>
          <t>QR код</t>
        </is>
      </c>
      <c r="N5" s="6" t="inlineStr">
        <is>
          <t>Отгружен</t>
        </is>
      </c>
      <c r="O5" s="6" t="n"/>
      <c r="P5" s="6" t="inlineStr">
        <is>
          <t>продан</t>
        </is>
      </c>
      <c r="Q5" s="6" t="n"/>
    </row>
    <row r="6">
      <c r="A6" s="3" t="n">
        <v>46285</v>
      </c>
      <c r="B6" s="4" t="inlineStr">
        <is>
          <t>Р-02</t>
        </is>
      </c>
      <c r="C6" s="4" t="n"/>
      <c r="D6" s="4" t="inlineStr">
        <is>
          <t>Розничный покупатель</t>
        </is>
      </c>
      <c r="E6" s="4" t="inlineStr">
        <is>
          <t>LAVA-10</t>
        </is>
      </c>
      <c r="F6" s="4" t="inlineStr">
        <is>
          <t>Бусы из вулканической лавы, 10 мм</t>
        </is>
      </c>
      <c r="G6" s="5" t="n">
        <v>2</v>
      </c>
      <c r="H6" s="6" t="n">
        <v>300</v>
      </c>
      <c r="I6" s="6">
        <f>G6*H6</f>
        <v/>
      </c>
      <c r="J6" s="6" t="n">
        <v>700</v>
      </c>
      <c r="K6" s="6">
        <f>G6*J6</f>
        <v/>
      </c>
      <c r="L6" s="6">
        <f>K6-I6</f>
        <v/>
      </c>
      <c r="M6" s="6" t="inlineStr">
        <is>
          <t>QR код</t>
        </is>
      </c>
      <c r="N6" s="6" t="inlineStr">
        <is>
          <t>Отгружен</t>
        </is>
      </c>
      <c r="O6" s="6" t="n"/>
      <c r="P6" s="6" t="inlineStr">
        <is>
          <t>продан</t>
        </is>
      </c>
      <c r="Q6" s="6" t="n"/>
    </row>
    <row r="7">
      <c r="A7" s="7" t="n"/>
      <c r="B7" s="7" t="n"/>
      <c r="C7" s="7" t="n"/>
      <c r="D7" s="7" t="n"/>
      <c r="E7" s="7" t="n"/>
      <c r="F7" s="8" t="inlineStr">
        <is>
          <t>ИТОГО ЗАКАЗ Р-02:</t>
        </is>
      </c>
      <c r="G7" s="7" t="n"/>
      <c r="H7" s="9" t="n"/>
      <c r="I7" s="9">
        <f>SUM(I5:I6)</f>
        <v/>
      </c>
      <c r="J7" s="9" t="n"/>
      <c r="K7" s="9">
        <f>SUM(K5:K6)</f>
        <v/>
      </c>
      <c r="L7" s="9">
        <f>SUM(L5:L6)</f>
        <v/>
      </c>
      <c r="M7" s="9" t="n"/>
      <c r="N7" s="9" t="n"/>
      <c r="O7" s="9" t="n"/>
      <c r="P7" s="9" t="n"/>
      <c r="Q7" s="9" t="n"/>
    </row>
    <row r="8">
      <c r="A8" s="10" t="inlineStr">
        <is>
          <t>ИТОГО СЕНТЯБРЬ 2026:</t>
        </is>
      </c>
      <c r="B8" s="10" t="n"/>
      <c r="C8" s="10" t="n"/>
      <c r="D8" s="10" t="n"/>
      <c r="E8" s="10" t="n"/>
      <c r="F8" s="11">
        <f>COUNTIF(F3:F7,"ИТОГО ЗАКАЗ*")</f>
        <v/>
      </c>
      <c r="G8" s="12">
        <f>SUMPRODUCT(ISNUMBER(G3:G7)*G3:G7)</f>
        <v/>
      </c>
      <c r="H8" s="13" t="n"/>
      <c r="I8" s="13">
        <f>SUMPRODUCT(ISNUMBER(H3:H7)*I3:I7)</f>
        <v/>
      </c>
      <c r="J8" s="13" t="n"/>
      <c r="K8" s="13">
        <f>SUMPRODUCT(ISNUMBER(H3:H7)*K3:K7)</f>
        <v/>
      </c>
      <c r="L8" s="13">
        <f>SUMPRODUCT(ISNUMBER(H3:H7)*L3:L7)</f>
        <v/>
      </c>
      <c r="M8" s="13" t="n"/>
      <c r="N8" s="13" t="n"/>
      <c r="O8" s="13" t="n"/>
      <c r="P8" s="13" t="n"/>
      <c r="Q8" s="13" t="n"/>
    </row>
    <row r="10">
      <c r="A10" s="16" t="inlineStr">
        <is>
          <t>↓ новые строки вносит продавец: дата, заказ, клиент, товар (из Справочника), кол-во, форма оплаты, этап сборки; цены подставьте формулой VLOOKUP по артикулу, Σ и Прибыль — скопируйте из строки выше</t>
        </is>
      </c>
    </row>
    <row r="12">
      <c r="A12" s="14" t="inlineStr">
        <is>
          <t>ВСЕГО ЗА ВСЁ ВРЕМЯ:</t>
        </is>
      </c>
      <c r="B12" s="14" t="n"/>
      <c r="C12" s="14" t="n"/>
      <c r="D12" s="14" t="n"/>
      <c r="E12" s="14" t="n"/>
      <c r="F12" s="14" t="n"/>
      <c r="G12" s="14" t="n"/>
      <c r="H12" s="15" t="n"/>
      <c r="I12" s="15">
        <f>I8</f>
        <v/>
      </c>
      <c r="J12" s="15" t="n"/>
      <c r="K12" s="15">
        <f>K8</f>
        <v/>
      </c>
      <c r="L12" s="15">
        <f>L8</f>
        <v/>
      </c>
      <c r="M12" s="15" t="n"/>
      <c r="N12" s="15" t="n"/>
      <c r="O12" s="15" t="n"/>
      <c r="P12" s="15" t="n"/>
      <c r="Q12" s="15" t="n"/>
    </row>
  </sheetData>
  <mergeCells count="1">
    <mergeCell ref="A2:Q2"/>
  </mergeCells>
  <conditionalFormatting sqref="M2:M200">
    <cfRule type="cellIs" priority="1" operator="equal" dxfId="0">
      <formula>"QR код"</formula>
    </cfRule>
    <cfRule type="cellIs" priority="2" operator="equal" dxfId="0">
      <formula>"Наличные"</formula>
    </cfRule>
    <cfRule type="cellIs" priority="3" operator="equal" dxfId="0">
      <formula>"Перевод"</formula>
    </cfRule>
    <cfRule type="cellIs" priority="4" operator="equal" dxfId="1">
      <formula>"Не оплачен"</formula>
    </cfRule>
  </conditionalFormatting>
  <conditionalFormatting sqref="N2:N200">
    <cfRule type="cellIs" priority="5" operator="equal" dxfId="2">
      <formula>"Принят"</formula>
    </cfRule>
    <cfRule type="cellIs" priority="6" operator="equal" dxfId="3">
      <formula>"В работе"</formula>
    </cfRule>
    <cfRule type="cellIs" priority="7" operator="equal" dxfId="4">
      <formula>"Собран"</formula>
    </cfRule>
    <cfRule type="cellIs" priority="8" operator="equal" dxfId="0">
      <formula>"Отгружен"</formula>
    </cfRule>
  </conditionalFormatting>
  <dataValidations count="2">
    <dataValidation sqref="M2:M200" showDropDown="0" showInputMessage="0" showErrorMessage="0" allowBlank="1" error="Выберите значение из списка" type="list">
      <formula1>"QR код,Наличные,Перевод,Не оплачен"</formula1>
    </dataValidation>
    <dataValidation sqref="N2:N200" showDropDown="0" showInputMessage="0" showErrorMessage="0" allowBlank="1" type="list">
      <formula1>"Принят,В работе,Собран,Отгружен"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2" customWidth="1" min="4" max="4"/>
    <col width="14" customWidth="1" min="5" max="5"/>
    <col width="18" customWidth="1" min="6" max="6"/>
    <col width="11" customWidth="1" min="7" max="7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Цена закупа (вручную)</t>
        </is>
      </c>
      <c r="E1" s="1" t="inlineStr">
        <is>
          <t>Цена продажи</t>
        </is>
      </c>
      <c r="F1" s="1" t="inlineStr">
        <is>
          <t>Наценка (коэфф.)</t>
        </is>
      </c>
      <c r="G1" s="1" t="inlineStr">
        <is>
          <t>В наличии</t>
        </is>
      </c>
    </row>
    <row r="2">
      <c r="A2" s="4" t="inlineStr">
        <is>
          <t>AM-08</t>
        </is>
      </c>
      <c r="B2" s="4" t="inlineStr">
        <is>
          <t>Бусы из аметиста, 8 мм</t>
        </is>
      </c>
      <c r="C2" s="4" t="inlineStr">
        <is>
          <t>Бусы</t>
        </is>
      </c>
      <c r="D2" s="17" t="n">
        <v>1500</v>
      </c>
      <c r="E2" s="4">
        <f>ROUND(D2*F2,0)</f>
        <v/>
      </c>
      <c r="F2" s="18" t="n">
        <v>1.67</v>
      </c>
      <c r="G2" s="4" t="b">
        <v>1</v>
      </c>
    </row>
    <row r="3">
      <c r="A3" s="4" t="inlineStr">
        <is>
          <t>GH-06</t>
        </is>
      </c>
      <c r="B3" s="4" t="inlineStr">
        <is>
          <t>Бусы из горного хрусталя, 6 мм</t>
        </is>
      </c>
      <c r="C3" s="4" t="inlineStr">
        <is>
          <t>Бусы</t>
        </is>
      </c>
      <c r="D3" s="17" t="n">
        <v>800</v>
      </c>
      <c r="E3" s="4">
        <f>ROUND(D3*F3,0)</f>
        <v/>
      </c>
      <c r="F3" s="18" t="n">
        <v>1.75</v>
      </c>
      <c r="G3" s="4" t="b">
        <v>1</v>
      </c>
    </row>
    <row r="4">
      <c r="A4" s="4" t="inlineStr">
        <is>
          <t>LAVA-10</t>
        </is>
      </c>
      <c r="B4" s="4" t="inlineStr">
        <is>
          <t>Бусы из вулканической лавы, 10 мм</t>
        </is>
      </c>
      <c r="C4" s="4" t="inlineStr">
        <is>
          <t>Бусы</t>
        </is>
      </c>
      <c r="D4" s="17" t="n">
        <v>300</v>
      </c>
      <c r="E4" s="4">
        <f>ROUND(D4*F4,0)</f>
        <v/>
      </c>
      <c r="F4" s="18" t="n">
        <v>2.33</v>
      </c>
      <c r="G4" s="4" t="b">
        <v>1</v>
      </c>
    </row>
    <row r="6">
      <c r="A6" s="16" t="inlineStr">
        <is>
          <t>Жёлтые колонки («Цена закупа», «Наценка») заполняются вручную один раз — бот их НЕ перезаписывает. «Цена продажи» = ROUND(закуп × наценка) — обновится автоматически при правке закупа (этап 6). Артикул/название/категорию/наличие синхронизирует бот.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3" customWidth="1" min="6" max="6"/>
    <col width="24" customWidth="1" min="7" max="7"/>
    <col width="14" customWidth="1" min="8" max="8"/>
    <col width="14" customWidth="1" min="9" max="9"/>
    <col width="14" customWidth="1" min="10" max="10"/>
  </cols>
  <sheetData>
    <row r="1">
      <c r="A1" s="19" t="inlineStr">
        <is>
          <t>СВОД ПО МЕСЯЦАМ (Опт + Розница)</t>
        </is>
      </c>
    </row>
    <row r="2">
      <c r="A2" s="1" t="inlineStr">
        <is>
          <t>Месяц</t>
        </is>
      </c>
      <c r="B2" s="1" t="inlineStr">
        <is>
          <t>Закуп</t>
        </is>
      </c>
      <c r="C2" s="1" t="inlineStr">
        <is>
          <t>Продажа</t>
        </is>
      </c>
      <c r="D2" s="1" t="inlineStr">
        <is>
          <t>Прибыль</t>
        </is>
      </c>
      <c r="E2" s="1" t="inlineStr">
        <is>
          <t>Заказов</t>
        </is>
      </c>
      <c r="G2" s="19" t="inlineStr">
        <is>
          <t>СВОД ПО КЛИЕНТАМ (Опт)</t>
        </is>
      </c>
    </row>
    <row r="3">
      <c r="A3" s="1" t="inlineStr">
        <is>
          <t>СЕНТЯБРЬ 2026</t>
        </is>
      </c>
      <c r="B3" s="20">
        <f>'Опт'!I8+'Розница'!I8</f>
        <v/>
      </c>
      <c r="C3" s="20">
        <f>'Опт'!K8+'Розница'!K8</f>
        <v/>
      </c>
      <c r="D3" s="20">
        <f>'Опт'!L8+'Розница'!L8</f>
        <v/>
      </c>
      <c r="E3" s="21">
        <f>'Опт'!F8+'Розница'!F8</f>
        <v/>
      </c>
      <c r="F3" s="1" t="n"/>
      <c r="G3" s="1" t="inlineStr">
        <is>
          <t>Клиент</t>
        </is>
      </c>
      <c r="H3" s="1" t="inlineStr">
        <is>
          <t>Закуп</t>
        </is>
      </c>
      <c r="I3" s="1" t="inlineStr">
        <is>
          <t>Продажа</t>
        </is>
      </c>
      <c r="J3" s="1" t="inlineStr">
        <is>
          <t>Прибыль</t>
        </is>
      </c>
    </row>
    <row r="4">
      <c r="A4" s="4" t="inlineStr">
        <is>
          <t>ОКТЯБРЬ 2026</t>
        </is>
      </c>
      <c r="B4" s="6">
        <f>'Опт'!I13</f>
        <v/>
      </c>
      <c r="C4" s="6">
        <f>'Опт'!K13</f>
        <v/>
      </c>
      <c r="D4" s="6">
        <f>'Опт'!L13</f>
        <v/>
      </c>
      <c r="E4" s="5">
        <f>'Опт'!F13</f>
        <v/>
      </c>
      <c r="F4" s="4" t="n"/>
      <c r="G4" s="4" t="inlineStr">
        <is>
          <t>Иван (@ivan)</t>
        </is>
      </c>
      <c r="H4" s="6">
        <f>SUMIFS('Опт'!I:I,'Опт'!D:D,G4,'Опт'!G:G,"&gt;0")</f>
        <v/>
      </c>
      <c r="I4" s="6">
        <f>SUMIFS('Опт'!K:K,'Опт'!D:D,G4,'Опт'!G:G,"&gt;0")</f>
        <v/>
      </c>
      <c r="J4" s="6">
        <f>SUMIFS('Опт'!L:L,'Опт'!D:D,G4,'Опт'!G:G,"&gt;0")</f>
        <v/>
      </c>
    </row>
    <row r="5">
      <c r="A5" s="10" t="inlineStr">
        <is>
          <t>ИТОГО</t>
        </is>
      </c>
      <c r="B5" s="13">
        <f>SUM(B3:B4)</f>
        <v/>
      </c>
      <c r="C5" s="13">
        <f>SUM(C3:C4)</f>
        <v/>
      </c>
      <c r="D5" s="13">
        <f>SUM(D3:D4)</f>
        <v/>
      </c>
      <c r="E5" s="12">
        <f>SUM(E3:E4)</f>
        <v/>
      </c>
      <c r="F5" s="4" t="n"/>
      <c r="G5" s="4" t="inlineStr">
        <is>
          <t>Ольга (@olga)</t>
        </is>
      </c>
      <c r="H5" s="6">
        <f>SUMIFS('Опт'!I:I,'Опт'!D:D,G5,'Опт'!G:G,"&gt;0")</f>
        <v/>
      </c>
      <c r="I5" s="6">
        <f>SUMIFS('Опт'!K:K,'Опт'!D:D,G5,'Опт'!G:G,"&gt;0")</f>
        <v/>
      </c>
      <c r="J5" s="6">
        <f>SUMIFS('Опт'!L:L,'Опт'!D:D,G5,'Опт'!G:G,"&gt;0")</f>
        <v/>
      </c>
    </row>
    <row r="7">
      <c r="G7" s="16" t="inlineStr">
        <is>
          <t>Все суммы — формулы, пересчитываются автоматически при правках строк.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9" t="inlineStr">
        <is>
          <t>ШАБЛОН УЧЁТА ЗАКАЗОВ: Telegram-бот ↔ таблица</t>
        </is>
      </c>
    </row>
    <row r="2">
      <c r="A2" t="inlineStr"/>
    </row>
    <row r="3">
      <c r="A3" t="inlineStr">
        <is>
          <t>Лист «Опт» — заказы из Telegram, заполняется БОТОМ автоматически после подтверждения оплаты.</t>
        </is>
      </c>
    </row>
    <row r="4">
      <c r="A4" t="inlineStr">
        <is>
          <t>Лист «Розница» — продажи в магазине, заполняется ПРОДАВЦОМ вручную (бот только читает для итогов).</t>
        </is>
      </c>
    </row>
    <row r="5">
      <c r="A5" t="inlineStr">
        <is>
          <t>Лист «Справочник» — номенклатура: жёлтые колонки («Цена закупа», «Наценка») вносят вручную один раз,</t>
        </is>
      </c>
    </row>
    <row r="6">
      <c r="A6" t="inlineStr">
        <is>
          <t xml:space="preserve">    бот их никогда не перезаписывает; «Цена продажи» считается автоматически = закуп × наценка.</t>
        </is>
      </c>
    </row>
    <row r="7">
      <c r="A7" t="inlineStr">
        <is>
          <t>Лист «Отчёт» — свод по месяцам и по клиентам, все суммы формулами.</t>
        </is>
      </c>
    </row>
    <row r="8">
      <c r="A8" t="inlineStr"/>
    </row>
    <row r="9">
      <c r="A9" s="19" t="inlineStr">
        <is>
          <t>КОЛОНКИ «ФОРМА ОПЛАТЫ», «ЭТАП СБОРКИ», «КОММЕНТАРИЙ»:</t>
        </is>
      </c>
    </row>
    <row r="10">
      <c r="A10" t="inlineStr">
        <is>
          <t>• «Форма оплаты» — выпадающий список: QR код / Наличные / Перевод / Не оплачен.</t>
        </is>
      </c>
    </row>
    <row r="11">
      <c r="A11" t="inlineStr">
        <is>
          <t xml:space="preserve">  Оплаченные формы подсвечиваются зелёным, «Не оплачен» — красным (автоматически).</t>
        </is>
      </c>
    </row>
    <row r="12">
      <c r="A12" t="inlineStr">
        <is>
          <t>• «Этап сборки» — выпадающий список: Принят / В работе / Собран / Отгружен (с подсветкой).</t>
        </is>
      </c>
    </row>
    <row r="13">
      <c r="A13" t="inlineStr">
        <is>
          <t>• «Комментарий» — свободная колонка для любой информации о клиенте/заказе.</t>
        </is>
      </c>
    </row>
    <row r="14">
      <c r="A14" t="inlineStr">
        <is>
          <t>Бот заполняет строку заказа, а оплату/этап/комментарий продавец выбирает вручную</t>
        </is>
      </c>
    </row>
    <row r="15">
      <c r="A15" t="inlineStr">
        <is>
          <t>из выпадающих списков — бот эти колонки не перезаписывает.</t>
        </is>
      </c>
    </row>
    <row r="16">
      <c r="A16" t="inlineStr"/>
    </row>
    <row r="17">
      <c r="A17" s="19" t="inlineStr">
        <is>
          <t>СТРУКТУРА ИТОГОВ (как договорились):</t>
        </is>
      </c>
    </row>
    <row r="18">
      <c r="A18" t="inlineStr">
        <is>
          <t>1. «ИТОГО ЗАКАЗ …» — жёлтая строка под каждым заказом: Σ закуп, Σ продажа, прибыль.</t>
        </is>
      </c>
    </row>
    <row r="19">
      <c r="A19" t="inlineStr">
        <is>
          <t>2. «=== МЕСЯЦ ===» — зелёный заголовок, месяцы визуально разделены.</t>
        </is>
      </c>
    </row>
    <row r="20">
      <c r="A20" t="inlineStr">
        <is>
          <t>3. «ИТОГО &lt;месяц&gt;» — голубая строка в конце месяца: кол-во, закуп, продажа, прибыль.</t>
        </is>
      </c>
    </row>
    <row r="21">
      <c r="A21" t="inlineStr">
        <is>
          <t>4. «ВСЕГО ЗА ВСЁ ВРЕМЯ» — тёмно-синяя строка общих итогов внизу листа.</t>
        </is>
      </c>
    </row>
    <row r="22">
      <c r="A22" t="inlineStr"/>
    </row>
    <row r="23">
      <c r="A23" s="19" t="inlineStr">
        <is>
          <t>СЛУЖЕБНЫЕ КОЛОНКИ (не удалять):</t>
        </is>
      </c>
    </row>
    <row r="24">
      <c r="A24" t="inlineStr">
        <is>
          <t>• «TG ID» — стабильный идентификатор клиента (имя в Telegram можно сменить, ID — нет).</t>
        </is>
      </c>
    </row>
    <row r="25">
      <c r="A25" t="inlineStr">
        <is>
          <t>• «ID позиции (служеб.)» — защита от дублей: бот проверяет этот ID перед записью строки.</t>
        </is>
      </c>
    </row>
    <row r="26">
      <c r="A26" t="inlineStr"/>
    </row>
    <row r="27">
      <c r="A27" s="19" t="inlineStr">
        <is>
          <t>ПРАВИЛА РУЧНОГО РЕДАКТИРОВАНИЯ:</t>
        </is>
      </c>
    </row>
    <row r="28">
      <c r="A28" t="inlineStr">
        <is>
          <t>• Новые позиции вставляйте ВНУТРИ блока месяца, ВЫШЕ строки «ИТОГО &lt;месяц&gt;» — итоги пересчитаются.</t>
        </is>
      </c>
    </row>
    <row r="29">
      <c r="A29" t="inlineStr">
        <is>
          <t>• Формулы строки позиции: Σ закупа =G×H; Σ продажи =G×J; Прибыль =K−I. При добавлении строки</t>
        </is>
      </c>
    </row>
    <row r="30">
      <c r="A30" t="inlineStr">
        <is>
          <t xml:space="preserve">  скопируйте формулы из соседней позиции.</t>
        </is>
      </c>
    </row>
    <row r="31">
      <c r="A31" t="inlineStr">
        <is>
          <t>• Демо-данные перед запуском удалите, структуру и формулы оставьте.</t>
        </is>
      </c>
    </row>
    <row r="32">
      <c r="A32" t="inlineStr"/>
    </row>
    <row r="33">
      <c r="A33" t="inlineStr">
        <is>
          <t>При переносе в Google Sheets: Файл → Импорт → Заменить таблицу. Формулы совместимы;</t>
        </is>
      </c>
    </row>
    <row r="34">
      <c r="A34" t="inlineStr">
        <is>
          <t>«=== МЕСЯЦ ===» в Sheets удобнее заменить разделителем «синяя группа строк» (View → Group),</t>
        </is>
      </c>
    </row>
    <row r="35">
      <c r="A35" t="inlineStr">
        <is>
          <t>бот при записи нового месяца будет создавать новую группу автоматически.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2026-09-12T08:31:18Z</dcterms:created>
  <dcterms:modified xsi:type="dcterms:W3CDTF">2026-09-12T08:31:18Z</dcterms:modified>
</cp:coreProperties>
</file>